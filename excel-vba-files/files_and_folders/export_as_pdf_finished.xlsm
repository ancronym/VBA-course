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20115" windowHeight="8505"/>
  </bookViews>
  <sheets>
    <sheet name="Bradford" sheetId="1" r:id="rId1"/>
    <sheet name="Bristol" sheetId="2" r:id="rId2"/>
    <sheet name="Eastbourne" sheetId="3" r:id="rId3"/>
    <sheet name="Kettering" sheetId="4" r:id="rId4"/>
    <sheet name="Portsmouth" sheetId="5" r:id="rId5"/>
    <sheet name="Sunderland" sheetId="6" r:id="rId6"/>
  </sheets>
  <calcPr calcId="145621"/>
</workbook>
</file>

<file path=xl/calcChain.xml><?xml version="1.0" encoding="utf-8"?>
<calcChain xmlns="http://schemas.openxmlformats.org/spreadsheetml/2006/main">
  <c r="F4" i="6" l="1"/>
  <c r="G4" i="6" s="1"/>
  <c r="F5" i="6"/>
  <c r="G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5" i="5"/>
  <c r="G15" i="5" s="1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F4" i="5"/>
  <c r="F15" i="4"/>
  <c r="G15" i="4" s="1"/>
  <c r="F14" i="4"/>
  <c r="G14" i="4" s="1"/>
  <c r="F13" i="4"/>
  <c r="G13" i="4" s="1"/>
  <c r="F12" i="4"/>
  <c r="G12" i="4" s="1"/>
  <c r="F11" i="4"/>
  <c r="G11" i="4" s="1"/>
  <c r="F10" i="4"/>
  <c r="G10" i="4" s="1"/>
  <c r="F9" i="4"/>
  <c r="G9" i="4" s="1"/>
  <c r="F8" i="4"/>
  <c r="G8" i="4" s="1"/>
  <c r="F7" i="4"/>
  <c r="G7" i="4" s="1"/>
  <c r="F6" i="4"/>
  <c r="G6" i="4" s="1"/>
  <c r="F5" i="4"/>
  <c r="G5" i="4" s="1"/>
  <c r="F4" i="4"/>
  <c r="G4" i="4" s="1"/>
  <c r="G15" i="3"/>
  <c r="F15" i="3"/>
  <c r="G14" i="3"/>
  <c r="F14" i="3"/>
  <c r="G13" i="3"/>
  <c r="F13" i="3"/>
  <c r="G12" i="3"/>
  <c r="F12" i="3"/>
  <c r="G11" i="3"/>
  <c r="F11" i="3"/>
  <c r="G10" i="3"/>
  <c r="F10" i="3"/>
  <c r="G9" i="3"/>
  <c r="F9" i="3"/>
  <c r="G8" i="3"/>
  <c r="F8" i="3"/>
  <c r="G7" i="3"/>
  <c r="F7" i="3"/>
  <c r="G6" i="3"/>
  <c r="F6" i="3"/>
  <c r="G5" i="3"/>
  <c r="F5" i="3"/>
  <c r="G4" i="3"/>
  <c r="F4" i="3"/>
  <c r="G15" i="2"/>
  <c r="F15" i="2"/>
  <c r="G14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F15" i="1"/>
  <c r="G15" i="1" s="1"/>
  <c r="F14" i="1"/>
  <c r="G14" i="1" s="1"/>
  <c r="F13" i="1"/>
  <c r="G13" i="1" s="1"/>
  <c r="F12" i="1"/>
  <c r="G12" i="1" s="1"/>
  <c r="F11" i="1"/>
  <c r="G11" i="1" s="1"/>
  <c r="F10" i="1"/>
  <c r="G10" i="1" s="1"/>
  <c r="F9" i="1"/>
  <c r="G9" i="1" s="1"/>
  <c r="F8" i="1"/>
  <c r="G8" i="1" s="1"/>
  <c r="F7" i="1"/>
  <c r="G7" i="1" s="1"/>
  <c r="F6" i="1"/>
  <c r="G6" i="1" s="1"/>
  <c r="F5" i="1"/>
  <c r="G5" i="1" s="1"/>
  <c r="F4" i="1"/>
  <c r="G4" i="1" s="1"/>
</calcChain>
</file>

<file path=xl/sharedStrings.xml><?xml version="1.0" encoding="utf-8"?>
<sst xmlns="http://schemas.openxmlformats.org/spreadsheetml/2006/main" count="120" uniqueCount="17">
  <si>
    <t>Quarter</t>
  </si>
  <si>
    <t>Income</t>
  </si>
  <si>
    <t>Supplies</t>
  </si>
  <si>
    <t>Wages</t>
  </si>
  <si>
    <t>Utilities</t>
  </si>
  <si>
    <t>Total Expenses</t>
  </si>
  <si>
    <t>Profit</t>
  </si>
  <si>
    <t>First Quarter</t>
  </si>
  <si>
    <t>Second Quarter</t>
  </si>
  <si>
    <t>Third Quarter</t>
  </si>
  <si>
    <t>Fourth Quarter</t>
  </si>
  <si>
    <t>Bradford</t>
  </si>
  <si>
    <t>Sunderland</t>
  </si>
  <si>
    <t>Portsmouth</t>
  </si>
  <si>
    <t>Kettering</t>
  </si>
  <si>
    <t>Eastbourne</t>
  </si>
  <si>
    <t>Bristol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</si>
</sst>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7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center"/>
    </xf>
    <xf numFmtId="164" fontId="2" fillId="2" borderId="0" xfId="1" applyNumberFormat="1" applyFont="1" applyFill="1" applyAlignment="1">
      <alignment horizontal="center"/>
    </xf>
    <xf numFmtId="164" fontId="2" fillId="3" borderId="0" xfId="1" applyNumberFormat="1" applyFont="1" applyFill="1" applyAlignment="1">
      <alignment horizontal="center"/>
    </xf>
    <xf numFmtId="0" fontId="3" fillId="4" borderId="0" xfId="0" applyFont="1" applyFill="1"/>
    <xf numFmtId="164" fontId="0" fillId="5" borderId="0" xfId="1" applyNumberFormat="1" applyFont="1" applyFill="1"/>
    <xf numFmtId="164" fontId="0" fillId="6" borderId="0" xfId="1" applyNumberFormat="1" applyFont="1" applyFill="1"/>
    <xf numFmtId="0" fontId="4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tabSelected="1" workbookViewId="0">
      <selection activeCell="G18" sqref="G18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11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6500</v>
      </c>
      <c r="E5" s="6">
        <v>1099</v>
      </c>
      <c r="F5" s="5">
        <f t="shared" ref="F5:F15" si="0">C5+D5+E5</f>
        <v>12539</v>
      </c>
      <c r="G5" s="5">
        <f t="shared" ref="G5:G14" si="1">B5-F5</f>
        <v>12634</v>
      </c>
    </row>
    <row r="6" spans="1:7" x14ac:dyDescent="0.25">
      <c r="A6" s="4" t="s">
        <v>7</v>
      </c>
      <c r="B6" s="5">
        <v>25346</v>
      </c>
      <c r="C6" s="6">
        <v>6000</v>
      </c>
      <c r="D6" s="6">
        <v>7000</v>
      </c>
      <c r="E6" s="6">
        <v>1099</v>
      </c>
      <c r="F6" s="5">
        <f t="shared" si="0"/>
        <v>14099</v>
      </c>
      <c r="G6" s="5">
        <f t="shared" si="1"/>
        <v>11247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32000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20961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3400</v>
      </c>
      <c r="E10" s="6">
        <v>1099</v>
      </c>
      <c r="F10" s="5">
        <f t="shared" si="0"/>
        <v>9439</v>
      </c>
      <c r="G10" s="5">
        <f t="shared" si="1"/>
        <v>16599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5500</v>
      </c>
      <c r="D12" s="6">
        <v>5000</v>
      </c>
      <c r="E12" s="6">
        <v>2000</v>
      </c>
      <c r="F12" s="5">
        <f t="shared" si="0"/>
        <v>12500</v>
      </c>
      <c r="G12" s="5">
        <f t="shared" si="1"/>
        <v>13884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workbookViewId="0">
      <selection activeCell="D17" sqref="D17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16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30000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18961</v>
      </c>
    </row>
    <row r="7" spans="1:7" x14ac:dyDescent="0.25">
      <c r="A7" s="4" t="s">
        <v>8</v>
      </c>
      <c r="B7" s="5">
        <v>25519</v>
      </c>
      <c r="C7" s="6">
        <v>4940</v>
      </c>
      <c r="D7" s="6">
        <v>3400</v>
      </c>
      <c r="E7" s="6">
        <v>1099</v>
      </c>
      <c r="F7" s="5">
        <f t="shared" si="0"/>
        <v>9439</v>
      </c>
      <c r="G7" s="5">
        <f t="shared" si="1"/>
        <v>16080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3400</v>
      </c>
      <c r="F8" s="5">
        <f t="shared" si="0"/>
        <v>13340</v>
      </c>
      <c r="G8" s="5">
        <f t="shared" si="1"/>
        <v>12352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6789</v>
      </c>
      <c r="E12" s="6">
        <v>3560</v>
      </c>
      <c r="F12" s="5">
        <f t="shared" si="0"/>
        <v>15289</v>
      </c>
      <c r="G12" s="5">
        <f t="shared" si="1"/>
        <v>11095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15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28000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16961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4356</v>
      </c>
      <c r="E7" s="6">
        <v>2000</v>
      </c>
      <c r="F7" s="5">
        <f t="shared" si="0"/>
        <v>11296</v>
      </c>
      <c r="G7" s="5">
        <f t="shared" si="1"/>
        <v>14223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2300</v>
      </c>
      <c r="F10" s="5">
        <f t="shared" si="0"/>
        <v>12240</v>
      </c>
      <c r="G10" s="5">
        <f t="shared" si="1"/>
        <v>13798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5000</v>
      </c>
      <c r="D13" s="6">
        <v>5000</v>
      </c>
      <c r="E13" s="6">
        <v>1099</v>
      </c>
      <c r="F13" s="5">
        <f t="shared" si="0"/>
        <v>11099</v>
      </c>
      <c r="G13" s="5">
        <f t="shared" si="1"/>
        <v>15458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44000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32961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14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3456</v>
      </c>
      <c r="E10" s="6">
        <v>1099</v>
      </c>
      <c r="F10" s="5">
        <f t="shared" si="0"/>
        <v>9495</v>
      </c>
      <c r="G10" s="5">
        <f t="shared" si="1"/>
        <v>16543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1099</v>
      </c>
      <c r="F12" s="5">
        <f t="shared" si="0"/>
        <v>11039</v>
      </c>
      <c r="G12" s="5">
        <f t="shared" si="1"/>
        <v>15345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4940</v>
      </c>
      <c r="D14" s="6">
        <v>5000</v>
      </c>
      <c r="E14" s="6">
        <v>1099</v>
      </c>
      <c r="F14" s="5">
        <f t="shared" si="0"/>
        <v>11039</v>
      </c>
      <c r="G14" s="5">
        <f t="shared" si="1"/>
        <v>15691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13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5000</v>
      </c>
      <c r="E8" s="6">
        <v>1099</v>
      </c>
      <c r="F8" s="5">
        <f t="shared" si="0"/>
        <v>11039</v>
      </c>
      <c r="G8" s="5">
        <f t="shared" si="1"/>
        <v>14653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1099</v>
      </c>
      <c r="F10" s="5">
        <f t="shared" si="0"/>
        <v>11039</v>
      </c>
      <c r="G10" s="5">
        <f t="shared" si="1"/>
        <v>14999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5000</v>
      </c>
      <c r="E11" s="6">
        <v>1099</v>
      </c>
      <c r="F11" s="5">
        <f t="shared" si="0"/>
        <v>11039</v>
      </c>
      <c r="G11" s="5">
        <f t="shared" si="1"/>
        <v>15172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7768</v>
      </c>
      <c r="E12" s="6">
        <v>1099</v>
      </c>
      <c r="F12" s="5">
        <f t="shared" si="0"/>
        <v>13807</v>
      </c>
      <c r="G12" s="5">
        <f t="shared" si="1"/>
        <v>12577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1099</v>
      </c>
      <c r="F13" s="5">
        <f t="shared" si="0"/>
        <v>11039</v>
      </c>
      <c r="G13" s="5">
        <f t="shared" si="1"/>
        <v>15518</v>
      </c>
    </row>
    <row r="14" spans="1:7" x14ac:dyDescent="0.25">
      <c r="A14" s="4" t="s">
        <v>10</v>
      </c>
      <c r="B14" s="5">
        <v>26730</v>
      </c>
      <c r="C14" s="6">
        <v>4800</v>
      </c>
      <c r="D14" s="6">
        <v>5000</v>
      </c>
      <c r="E14" s="6">
        <v>1099</v>
      </c>
      <c r="F14" s="5">
        <f t="shared" si="0"/>
        <v>10899</v>
      </c>
      <c r="G14" s="5">
        <f t="shared" si="1"/>
        <v>15831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1099</v>
      </c>
      <c r="F15" s="5">
        <f t="shared" si="0"/>
        <v>11039</v>
      </c>
      <c r="G15" s="5">
        <f>B15-F15</f>
        <v>15864</v>
      </c>
    </row>
  </sheetData>
  <pageMargins left="0.7" right="0.7" top="0.75" bottom="0.75" header="0.3" footer="0.3"/>
  <pageSetup orientation="portrait" horizontalDpi="200" verticalDpi="200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A2" sqref="A2"/>
    </sheetView>
  </sheetViews>
  <sheetFormatPr defaultRowHeight="15" x14ac:dyDescent="0.25"/>
  <cols>
    <col min="1" max="1" width="14.140625" bestFit="1" customWidth="1"/>
    <col min="2" max="2" width="11.5703125" bestFit="1" customWidth="1"/>
    <col min="3" max="3" width="10.5703125" bestFit="1" customWidth="1"/>
    <col min="4" max="4" width="11.5703125" bestFit="1" customWidth="1"/>
    <col min="5" max="5" width="10.5703125" bestFit="1" customWidth="1"/>
    <col min="6" max="6" width="16" bestFit="1" customWidth="1"/>
    <col min="7" max="7" width="11.5703125" bestFit="1" customWidth="1"/>
  </cols>
  <sheetData>
    <row r="1" spans="1:7" ht="23.25" x14ac:dyDescent="0.35">
      <c r="A1" s="7" t="s">
        <v>12</v>
      </c>
    </row>
    <row r="3" spans="1:7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2" t="s">
        <v>5</v>
      </c>
      <c r="G3" s="2" t="s">
        <v>6</v>
      </c>
    </row>
    <row r="4" spans="1:7" x14ac:dyDescent="0.25">
      <c r="A4" s="4" t="s">
        <v>7</v>
      </c>
      <c r="B4" s="5">
        <v>25000</v>
      </c>
      <c r="C4" s="6">
        <v>4940</v>
      </c>
      <c r="D4" s="6">
        <v>5000</v>
      </c>
      <c r="E4" s="6">
        <v>1099</v>
      </c>
      <c r="F4" s="5">
        <f>C4+D4+E4</f>
        <v>11039</v>
      </c>
      <c r="G4" s="5">
        <f>B4-F4</f>
        <v>13961</v>
      </c>
    </row>
    <row r="5" spans="1:7" x14ac:dyDescent="0.25">
      <c r="A5" s="4" t="s">
        <v>7</v>
      </c>
      <c r="B5" s="5">
        <v>25173</v>
      </c>
      <c r="C5" s="6">
        <v>4940</v>
      </c>
      <c r="D5" s="6">
        <v>5000</v>
      </c>
      <c r="E5" s="6">
        <v>1099</v>
      </c>
      <c r="F5" s="5">
        <f t="shared" ref="F5:F15" si="0">C5+D5+E5</f>
        <v>11039</v>
      </c>
      <c r="G5" s="5">
        <f t="shared" ref="G5:G14" si="1">B5-F5</f>
        <v>14134</v>
      </c>
    </row>
    <row r="6" spans="1:7" x14ac:dyDescent="0.25">
      <c r="A6" s="4" t="s">
        <v>7</v>
      </c>
      <c r="B6" s="5">
        <v>25346</v>
      </c>
      <c r="C6" s="6">
        <v>4940</v>
      </c>
      <c r="D6" s="6">
        <v>5000</v>
      </c>
      <c r="E6" s="6">
        <v>1099</v>
      </c>
      <c r="F6" s="5">
        <f t="shared" si="0"/>
        <v>11039</v>
      </c>
      <c r="G6" s="5">
        <f t="shared" si="1"/>
        <v>14307</v>
      </c>
    </row>
    <row r="7" spans="1:7" x14ac:dyDescent="0.25">
      <c r="A7" s="4" t="s">
        <v>8</v>
      </c>
      <c r="B7" s="5">
        <v>25519</v>
      </c>
      <c r="C7" s="6">
        <v>4940</v>
      </c>
      <c r="D7" s="6">
        <v>5000</v>
      </c>
      <c r="E7" s="6">
        <v>1099</v>
      </c>
      <c r="F7" s="5">
        <f t="shared" si="0"/>
        <v>11039</v>
      </c>
      <c r="G7" s="5">
        <f t="shared" si="1"/>
        <v>14480</v>
      </c>
    </row>
    <row r="8" spans="1:7" x14ac:dyDescent="0.25">
      <c r="A8" s="4" t="s">
        <v>8</v>
      </c>
      <c r="B8" s="5">
        <v>25692</v>
      </c>
      <c r="C8" s="6">
        <v>4940</v>
      </c>
      <c r="D8" s="6">
        <v>10000</v>
      </c>
      <c r="E8" s="6">
        <v>1099</v>
      </c>
      <c r="F8" s="5">
        <f t="shared" si="0"/>
        <v>16039</v>
      </c>
      <c r="G8" s="5">
        <f t="shared" si="1"/>
        <v>9653</v>
      </c>
    </row>
    <row r="9" spans="1:7" x14ac:dyDescent="0.25">
      <c r="A9" s="4" t="s">
        <v>8</v>
      </c>
      <c r="B9" s="5">
        <v>25865</v>
      </c>
      <c r="C9" s="6">
        <v>4940</v>
      </c>
      <c r="D9" s="6">
        <v>5000</v>
      </c>
      <c r="E9" s="6">
        <v>1099</v>
      </c>
      <c r="F9" s="5">
        <f t="shared" si="0"/>
        <v>11039</v>
      </c>
      <c r="G9" s="5">
        <f t="shared" si="1"/>
        <v>14826</v>
      </c>
    </row>
    <row r="10" spans="1:7" x14ac:dyDescent="0.25">
      <c r="A10" s="4" t="s">
        <v>9</v>
      </c>
      <c r="B10" s="5">
        <v>26038</v>
      </c>
      <c r="C10" s="6">
        <v>4940</v>
      </c>
      <c r="D10" s="6">
        <v>5000</v>
      </c>
      <c r="E10" s="6">
        <v>2500</v>
      </c>
      <c r="F10" s="5">
        <f t="shared" si="0"/>
        <v>12440</v>
      </c>
      <c r="G10" s="5">
        <f t="shared" si="1"/>
        <v>13598</v>
      </c>
    </row>
    <row r="11" spans="1:7" x14ac:dyDescent="0.25">
      <c r="A11" s="4" t="s">
        <v>9</v>
      </c>
      <c r="B11" s="5">
        <v>26211</v>
      </c>
      <c r="C11" s="6">
        <v>4940</v>
      </c>
      <c r="D11" s="6">
        <v>2789</v>
      </c>
      <c r="E11" s="6">
        <v>2500</v>
      </c>
      <c r="F11" s="5">
        <f t="shared" si="0"/>
        <v>10229</v>
      </c>
      <c r="G11" s="5">
        <f t="shared" si="1"/>
        <v>15982</v>
      </c>
    </row>
    <row r="12" spans="1:7" x14ac:dyDescent="0.25">
      <c r="A12" s="4" t="s">
        <v>9</v>
      </c>
      <c r="B12" s="5">
        <v>26384</v>
      </c>
      <c r="C12" s="6">
        <v>4940</v>
      </c>
      <c r="D12" s="6">
        <v>5000</v>
      </c>
      <c r="E12" s="6">
        <v>2500</v>
      </c>
      <c r="F12" s="5">
        <f t="shared" si="0"/>
        <v>12440</v>
      </c>
      <c r="G12" s="5">
        <f t="shared" si="1"/>
        <v>13944</v>
      </c>
    </row>
    <row r="13" spans="1:7" x14ac:dyDescent="0.25">
      <c r="A13" s="4" t="s">
        <v>10</v>
      </c>
      <c r="B13" s="5">
        <v>26557</v>
      </c>
      <c r="C13" s="6">
        <v>4940</v>
      </c>
      <c r="D13" s="6">
        <v>5000</v>
      </c>
      <c r="E13" s="6">
        <v>3000</v>
      </c>
      <c r="F13" s="5">
        <f t="shared" si="0"/>
        <v>12940</v>
      </c>
      <c r="G13" s="5">
        <f t="shared" si="1"/>
        <v>13617</v>
      </c>
    </row>
    <row r="14" spans="1:7" x14ac:dyDescent="0.25">
      <c r="A14" s="4" t="s">
        <v>10</v>
      </c>
      <c r="B14" s="5">
        <v>18000</v>
      </c>
      <c r="C14" s="6">
        <v>4940</v>
      </c>
      <c r="D14" s="6">
        <v>2300</v>
      </c>
      <c r="E14" s="6">
        <v>3000</v>
      </c>
      <c r="F14" s="5">
        <f t="shared" si="0"/>
        <v>10240</v>
      </c>
      <c r="G14" s="5">
        <f t="shared" si="1"/>
        <v>7760</v>
      </c>
    </row>
    <row r="15" spans="1:7" x14ac:dyDescent="0.25">
      <c r="A15" s="4" t="s">
        <v>10</v>
      </c>
      <c r="B15" s="5">
        <v>26903</v>
      </c>
      <c r="C15" s="6">
        <v>4940</v>
      </c>
      <c r="D15" s="6">
        <v>5000</v>
      </c>
      <c r="E15" s="6">
        <v>3000</v>
      </c>
      <c r="F15" s="5">
        <f t="shared" si="0"/>
        <v>12940</v>
      </c>
      <c r="G15" s="5">
        <f>B15-F15</f>
        <v>13963</v>
      </c>
    </row>
  </sheetData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Bradford</vt:lpstr>
      <vt:lpstr>Bristol</vt:lpstr>
      <vt:lpstr>Eastbourne</vt:lpstr>
      <vt:lpstr>Kettering</vt:lpstr>
      <vt:lpstr>Portsmouth</vt:lpstr>
      <vt:lpstr>Sunderland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cp:lastPrinted>2014-03-17T07:00:39Z</cp:lastPrinted>
  <dcterms:created xsi:type="dcterms:W3CDTF">2014-03-12T19:10:11Z</dcterms:created>
  <dcterms:modified xsi:type="dcterms:W3CDTF">2014-03-17T07:06:25Z</dcterms:modified>
</cp:coreProperties>
</file>